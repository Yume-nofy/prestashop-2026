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oupe" sheetId="1" state="visible" r:id="rId3"/>
    <sheet name="liste des taches" sheetId="2" state="visible" r:id="rId4"/>
    <sheet name="Recap" sheetId="3" state="visible" r:id="rId5"/>
    <sheet name="avancement" sheetId="4" state="visible" r:id="rId6"/>
    <sheet name="detail_avancement" sheetId="5" state="visible" r:id="rId7"/>
  </sheets>
  <calcPr iterateCount="100" refMode="A1" iterate="false" iterateDelta="0.0001"/>
  <pivotCaches>
    <pivotCache cacheId="1" r:id="rId9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<sst xmlns="http://schemas.openxmlformats.org/spreadsheetml/2006/main" count="155" uniqueCount="81">
  <si>
    <t xml:space="preserve">ETU003313</t>
  </si>
  <si>
    <t xml:space="preserve">A</t>
  </si>
  <si>
    <t xml:space="preserve">B</t>
  </si>
  <si>
    <t xml:space="preserve">ETU00ZZZZ</t>
  </si>
  <si>
    <t xml:space="preserve">C</t>
  </si>
  <si>
    <t xml:space="preserve">ETU00WWWW</t>
  </si>
  <si>
    <t xml:space="preserve">Ligne</t>
  </si>
  <si>
    <t xml:space="preserve">Catégorie</t>
  </si>
  <si>
    <t xml:space="preserve">Module</t>
  </si>
  <si>
    <t xml:space="preserve">Page</t>
  </si>
  <si>
    <t xml:space="preserve">Description tâche</t>
  </si>
  <si>
    <t xml:space="preserve">Type</t>
  </si>
  <si>
    <t xml:space="preserve">Qui</t>
  </si>
  <si>
    <t xml:space="preserve">Estimation</t>
  </si>
  <si>
    <t xml:space="preserve">Temps passé</t>
  </si>
  <si>
    <t xml:space="preserve">Reste à faire</t>
  </si>
  <si>
    <t xml:space="preserve">Avancement</t>
  </si>
  <si>
    <t xml:space="preserve">Backoffice</t>
  </si>
  <si>
    <t xml:space="preserve">AppExistant</t>
  </si>
  <si>
    <t xml:space="preserve">installation</t>
  </si>
  <si>
    <t xml:space="preserve">faire marcher glpi</t>
  </si>
  <si>
    <t xml:space="preserve">initilisation</t>
  </si>
  <si>
    <t xml:space="preserve">NewAPP</t>
  </si>
  <si>
    <t xml:space="preserve">auth</t>
  </si>
  <si>
    <t xml:space="preserve">code unique comme mot de passe</t>
  </si>
  <si>
    <t xml:space="preserve">dev</t>
  </si>
  <si>
    <t xml:space="preserve">sécurité</t>
  </si>
  <si>
    <t xml:space="preserve">protéger les pages backoffice</t>
  </si>
  <si>
    <t xml:space="preserve">reset</t>
  </si>
  <si>
    <t xml:space="preserve">bouton réinitialisation données</t>
  </si>
  <si>
    <t xml:space="preserve">import</t>
  </si>
  <si>
    <t xml:space="preserve">import 3 fichiers csv</t>
  </si>
  <si>
    <t xml:space="preserve">import fichier zip images</t>
  </si>
  <si>
    <t xml:space="preserve">dashboard</t>
  </si>
  <si>
    <t xml:space="preserve">nombre éléments + détail</t>
  </si>
  <si>
    <t xml:space="preserve">nombre tickets + détail</t>
  </si>
  <si>
    <t xml:space="preserve">tickets</t>
  </si>
  <si>
    <t xml:space="preserve">liste + fiche ticket</t>
  </si>
  <si>
    <t xml:space="preserve">FrontOffice</t>
  </si>
  <si>
    <t xml:space="preserve">éléments</t>
  </si>
  <si>
    <t xml:space="preserve">liste avec recherche multi critère</t>
  </si>
  <si>
    <t xml:space="preserve">ticket</t>
  </si>
  <si>
    <t xml:space="preserve">création ticket avec éléments</t>
  </si>
  <si>
    <t xml:space="preserve">API</t>
  </si>
  <si>
    <t xml:space="preserve">connexion</t>
  </si>
  <si>
    <t xml:space="preserve">connexion API GLPI (JSON)</t>
  </si>
  <si>
    <t xml:space="preserve">GET tickets</t>
  </si>
  <si>
    <t xml:space="preserve">POST ticket</t>
  </si>
  <si>
    <t xml:space="preserve">Sync</t>
  </si>
  <si>
    <t xml:space="preserve">ExistingApp</t>
  </si>
  <si>
    <t xml:space="preserve">données</t>
  </si>
  <si>
    <t xml:space="preserve">vérifier données visibles GLPI</t>
  </si>
  <si>
    <t xml:space="preserve">test</t>
  </si>
  <si>
    <t xml:space="preserve">sync</t>
  </si>
  <si>
    <t xml:space="preserve">impact modification sur NewAPP</t>
  </si>
  <si>
    <t xml:space="preserve">Logique</t>
  </si>
  <si>
    <t xml:space="preserve">statut</t>
  </si>
  <si>
    <t xml:space="preserve">gérer statuts (New, In progress, Closed)</t>
  </si>
  <si>
    <t xml:space="preserve">Test</t>
  </si>
  <si>
    <t xml:space="preserve">Global</t>
  </si>
  <si>
    <t xml:space="preserve">tests</t>
  </si>
  <si>
    <t xml:space="preserve">tests complets</t>
  </si>
  <si>
    <t xml:space="preserve">Correction</t>
  </si>
  <si>
    <t xml:space="preserve">bug</t>
  </si>
  <si>
    <t xml:space="preserve">correction bugs</t>
  </si>
  <si>
    <t xml:space="preserve">fix</t>
  </si>
  <si>
    <t xml:space="preserve">Final</t>
  </si>
  <si>
    <t xml:space="preserve">demo</t>
  </si>
  <si>
    <t xml:space="preserve">doc</t>
  </si>
  <si>
    <t xml:space="preserve">SUM of Estimation</t>
  </si>
  <si>
    <t xml:space="preserve">SUM of Temps passé</t>
  </si>
  <si>
    <t xml:space="preserve">SUM of Reste à faire</t>
  </si>
  <si>
    <t xml:space="preserve">(empty)</t>
  </si>
  <si>
    <t xml:space="preserve">Total Result</t>
  </si>
  <si>
    <t xml:space="preserve">estimation total</t>
  </si>
  <si>
    <t xml:space="preserve">temps passé total</t>
  </si>
  <si>
    <t xml:space="preserve">reste à faire total</t>
  </si>
  <si>
    <t xml:space="preserve">avancement</t>
  </si>
  <si>
    <t xml:space="preserve">dépassement</t>
  </si>
  <si>
    <t xml:space="preserve">heure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</si>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</sst>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\ %"/>
    <numFmt numFmtId="166" formatCode="0\ %"/>
    <numFmt numFmtId="167" formatCode="d/m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Times New Roman"/>
      <family val="0"/>
      <charset val="1"/>
    </font>
    <font>
      <sz val="10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2"/>
      <color theme="1"/>
      <name val="Aptos Narrow"/>
      <family val="0"/>
      <charset val="1"/>
    </font>
    <font>
      <sz val="12"/>
      <color theme="1"/>
      <name val="Aptos Narrow"/>
      <family val="0"/>
      <charset val="1"/>
    </font>
    <font>
      <b val="true"/>
      <sz val="12"/>
      <color theme="1"/>
      <name val="Arial"/>
      <family val="0"/>
      <charset val="1"/>
    </font>
    <font>
      <sz val="12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  <fill>
      <patternFill patternType="solid">
        <fgColor rgb="FFFFE599"/>
        <bgColor rgb="FFFFFF99"/>
      </patternFill>
    </fill>
    <fill>
      <patternFill patternType="solid">
        <fgColor rgb="FF95DCF7"/>
        <bgColor rgb="FFC9DAF8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DCF7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9" createdVersion="3">
  <cacheSource type="worksheet">
    <worksheetSource ref="B1:K993" sheet="liste des taches"/>
  </cacheSource>
  <cacheFields count="10">
    <cacheField name="Catégorie" numFmtId="0">
      <sharedItems containsBlank="1" count="2">
        <s v="Backoffice"/>
        <m/>
      </sharedItems>
    </cacheField>
    <cacheField name="Module" numFmtId="0">
      <sharedItems containsBlank="1" count="6">
        <s v="AppExistant"/>
        <s v="Gestion Commandes"/>
        <s v="Importation"/>
        <s v="NewApp"/>
        <s v="TestApi"/>
        <m/>
      </sharedItems>
    </cacheField>
    <cacheField name="Page" numFmtId="0">
      <sharedItems containsBlank="1" count="7">
        <s v="AdminOrders"/>
        <s v="ApiGlpi"/>
        <s v="Glpi"/>
        <s v="installation"/>
        <s v="Service"/>
        <s v="squelette"/>
        <m/>
      </sharedItems>
    </cacheField>
    <cacheField name="Description tâche" numFmtId="0">
      <sharedItems containsBlank="1" count="10">
        <s v="comprendre les modules de glpi"/>
        <s v="creation d’un fonction pour utiliser glpi proprement"/>
        <s v="creer des composant reutilisable"/>
        <s v="faire marche api glpi"/>
        <s v="faire marcher glpi"/>
        <s v="generalise fonction call api"/>
        <s v="Parser CSV robuste"/>
        <s v="Tableau d'administration des commandes"/>
        <s v="Traitement &amp; Extraction Binaire des Images ZIP"/>
        <m/>
      </sharedItems>
    </cacheField>
    <cacheField name="Type" numFmtId="0">
      <sharedItems containsBlank="1" count="7">
        <s v="Affichage"/>
        <s v="Base"/>
        <s v="initilisation"/>
        <s v="Integration"/>
        <s v="Metier"/>
        <s v="Métier"/>
        <m/>
      </sharedItems>
    </cacheField>
    <cacheField name="Qui" numFmtId="0">
      <sharedItems containsBlank="1" count="2">
        <s v="ETU003313"/>
        <m/>
      </sharedItems>
    </cacheField>
    <cacheField name="Estimation" numFmtId="0">
      <sharedItems containsString="0" containsBlank="1" containsNumber="1" containsInteger="1" minValue="20" maxValue="180" count="7">
        <n v="20"/>
        <n v="25"/>
        <n v="30"/>
        <n v="70"/>
        <n v="120"/>
        <n v="180"/>
        <m/>
      </sharedItems>
    </cacheField>
    <cacheField name="Temps passé" numFmtId="0">
      <sharedItems containsString="0" containsBlank="1" containsNumber="1" containsInteger="1" minValue="20" maxValue="180" count="6">
        <n v="20"/>
        <n v="30"/>
        <n v="40"/>
        <n v="80"/>
        <n v="180"/>
        <m/>
      </sharedItems>
    </cacheField>
    <cacheField name="Reste à faire" numFmtId="0">
      <sharedItems containsString="0" containsBlank="1" containsNumber="1" containsInteger="1" minValue="0" maxValue="0" count="2">
        <n v="0"/>
        <m/>
      </sharedItems>
    </cacheField>
    <cacheField name="Avancement" numFmtId="0">
      <sharedItems containsString="0" containsBlank="1" containsNumber="1" containsInteger="1" minValue="1" maxValue="1" count="2">
        <n v="1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x v="0"/>
    <x v="0"/>
    <x v="3"/>
    <x v="4"/>
    <x v="2"/>
    <x v="0"/>
    <x v="4"/>
    <x v="4"/>
    <x v="0"/>
    <x v="0"/>
  </r>
  <r>
    <x v="0"/>
    <x v="4"/>
    <x v="1"/>
    <x v="3"/>
    <x v="4"/>
    <x v="0"/>
    <x v="2"/>
    <x v="1"/>
    <x v="0"/>
    <x v="0"/>
  </r>
  <r>
    <x v="0"/>
    <x v="4"/>
    <x v="1"/>
    <x v="5"/>
    <x v="4"/>
    <x v="0"/>
    <x v="0"/>
    <x v="1"/>
    <x v="0"/>
    <x v="0"/>
  </r>
  <r>
    <x v="0"/>
    <x v="0"/>
    <x v="2"/>
    <x v="0"/>
    <x v="2"/>
    <x v="0"/>
    <x v="5"/>
    <x v="4"/>
    <x v="0"/>
    <x v="0"/>
  </r>
  <r>
    <x v="0"/>
    <x v="3"/>
    <x v="5"/>
    <x v="2"/>
    <x v="0"/>
    <x v="0"/>
    <x v="3"/>
    <x v="3"/>
    <x v="0"/>
    <x v="0"/>
  </r>
  <r>
    <x v="0"/>
    <x v="2"/>
    <x v="4"/>
    <x v="6"/>
    <x v="5"/>
    <x v="0"/>
    <x v="1"/>
    <x v="1"/>
    <x v="0"/>
    <x v="0"/>
  </r>
  <r>
    <x v="0"/>
    <x v="2"/>
    <x v="4"/>
    <x v="8"/>
    <x v="3"/>
    <x v="0"/>
    <x v="2"/>
    <x v="2"/>
    <x v="0"/>
    <x v="0"/>
  </r>
  <r>
    <x v="0"/>
    <x v="2"/>
    <x v="1"/>
    <x v="1"/>
    <x v="1"/>
    <x v="0"/>
    <x v="0"/>
    <x v="0"/>
    <x v="0"/>
    <x v="0"/>
  </r>
  <r>
    <x v="0"/>
    <x v="1"/>
    <x v="0"/>
    <x v="7"/>
    <x v="0"/>
    <x v="0"/>
    <x v="2"/>
    <x v="1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Recap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1:D4" firstHeaderRow="0" firstDataRow="1" firstDataCol="1"/>
  <pivotFields count="10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outline="0">
      <items count="3">
        <item x="0"/>
        <item x="1"/>
        <item t="default"/>
      </items>
    </pivotField>
    <pivotField dataField="1" compact="0" showAll="0" outline="0"/>
    <pivotField dataField="1" compact="0" showAll="0" outline="0"/>
    <pivotField dataField="1" compact="0" showAll="0" outline="0"/>
    <pivotField compact="0" showAll="0" outline="0"/>
  </pivotFields>
  <rowFields count="1">
    <field x="5"/>
  </rowFields>
  <colFields count="1">
    <field x="-2"/>
  </colFields>
  <dataFields count="3">
    <dataField name="SUM of Estimation" fld="6" subtotal="sum" numFmtId="164"/>
    <dataField name="SUM of Temps passé" fld="7" subtotal="sum" numFmtId="164"/>
    <dataField name="SUM of Reste à faire" fld="8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 t="s">
        <v>0</v>
      </c>
      <c r="B2" s="1" t="s">
        <v>2</v>
      </c>
    </row>
    <row r="3" customFormat="false" ht="15.75" hidden="false" customHeight="false" outlineLevel="0" collapsed="false">
      <c r="A3" s="1" t="s">
        <v>3</v>
      </c>
      <c r="B3" s="1" t="s">
        <v>4</v>
      </c>
    </row>
    <row r="4" customFormat="false" ht="15.75" hidden="false" customHeight="false" outlineLevel="0" collapsed="false">
      <c r="A4" s="1" t="s">
        <v>5</v>
      </c>
      <c r="B4" s="1" t="s"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K22" activeCellId="0" sqref="K2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2" width="5.88"/>
    <col collapsed="false" customWidth="true" hidden="false" outlineLevel="0" max="2" min="2" style="2" width="19"/>
    <col collapsed="false" customWidth="true" hidden="false" outlineLevel="0" max="3" min="3" style="2" width="18"/>
    <col collapsed="false" customWidth="true" hidden="false" outlineLevel="0" max="5" min="5" style="2" width="43.63"/>
  </cols>
  <sheetData>
    <row r="1" customFormat="false" ht="15.75" hidden="false" customHeight="false" outlineLevel="0" collapsed="false">
      <c r="A1" s="3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</row>
    <row r="2" customFormat="false" ht="15.75" hidden="false" customHeight="false" outlineLevel="0" collapsed="false">
      <c r="A2" s="6" t="n">
        <v>1</v>
      </c>
      <c r="B2" s="6" t="s">
        <v>17</v>
      </c>
      <c r="C2" s="6" t="s">
        <v>18</v>
      </c>
      <c r="D2" s="6" t="s">
        <v>19</v>
      </c>
      <c r="E2" s="6" t="s">
        <v>20</v>
      </c>
      <c r="F2" s="6" t="s">
        <v>21</v>
      </c>
      <c r="G2" s="6" t="s">
        <v>0</v>
      </c>
      <c r="H2" s="6" t="n">
        <v>120</v>
      </c>
      <c r="I2" s="7" t="n">
        <v>180</v>
      </c>
      <c r="J2" s="7" t="n">
        <v>0</v>
      </c>
      <c r="K2" s="8" t="n">
        <f aca="false">(I2/(I2+J2))</f>
        <v>1</v>
      </c>
    </row>
    <row r="3" customFormat="false" ht="15.75" hidden="false" customHeight="false" outlineLevel="0" collapsed="false">
      <c r="A3" s="0" t="n">
        <v>2</v>
      </c>
      <c r="B3" s="0" t="s">
        <v>17</v>
      </c>
      <c r="C3" s="0" t="s">
        <v>22</v>
      </c>
      <c r="D3" s="0" t="s">
        <v>23</v>
      </c>
      <c r="E3" s="0" t="s">
        <v>24</v>
      </c>
      <c r="F3" s="0" t="s">
        <v>25</v>
      </c>
      <c r="G3" s="6" t="s">
        <v>0</v>
      </c>
      <c r="H3" s="0" t="n">
        <v>60</v>
      </c>
      <c r="I3" s="7" t="n">
        <v>30</v>
      </c>
      <c r="J3" s="7" t="n">
        <v>0</v>
      </c>
      <c r="K3" s="8" t="n">
        <f aca="false">(I3/(I3+J3))</f>
        <v>1</v>
      </c>
    </row>
    <row r="4" customFormat="false" ht="15.75" hidden="false" customHeight="false" outlineLevel="0" collapsed="false">
      <c r="A4" s="0" t="n">
        <v>3</v>
      </c>
      <c r="B4" s="0" t="s">
        <v>17</v>
      </c>
      <c r="C4" s="0" t="s">
        <v>22</v>
      </c>
      <c r="D4" s="0" t="s">
        <v>26</v>
      </c>
      <c r="E4" s="0" t="s">
        <v>27</v>
      </c>
      <c r="F4" s="0" t="s">
        <v>25</v>
      </c>
      <c r="G4" s="6" t="s">
        <v>0</v>
      </c>
      <c r="H4" s="0" t="n">
        <v>90</v>
      </c>
      <c r="I4" s="7" t="n">
        <v>30</v>
      </c>
      <c r="J4" s="7" t="n">
        <v>0</v>
      </c>
      <c r="K4" s="8" t="n">
        <f aca="false">(I4/(I4+J4))</f>
        <v>1</v>
      </c>
    </row>
    <row r="5" customFormat="false" ht="15.75" hidden="false" customHeight="false" outlineLevel="0" collapsed="false">
      <c r="A5" s="0" t="n">
        <v>4</v>
      </c>
      <c r="B5" s="0" t="s">
        <v>17</v>
      </c>
      <c r="C5" s="0" t="s">
        <v>22</v>
      </c>
      <c r="D5" s="0" t="s">
        <v>28</v>
      </c>
      <c r="E5" s="0" t="s">
        <v>29</v>
      </c>
      <c r="F5" s="0" t="s">
        <v>25</v>
      </c>
      <c r="G5" s="6" t="s">
        <v>0</v>
      </c>
      <c r="H5" s="0" t="n">
        <v>60</v>
      </c>
      <c r="I5" s="7" t="n">
        <v>180</v>
      </c>
      <c r="J5" s="7" t="n">
        <v>0</v>
      </c>
      <c r="K5" s="8" t="n">
        <f aca="false">(I5/(I5+J5))</f>
        <v>1</v>
      </c>
    </row>
    <row r="6" customFormat="false" ht="15.75" hidden="false" customHeight="false" outlineLevel="0" collapsed="false">
      <c r="A6" s="0" t="n">
        <v>5</v>
      </c>
      <c r="B6" s="0" t="s">
        <v>17</v>
      </c>
      <c r="C6" s="0" t="s">
        <v>22</v>
      </c>
      <c r="D6" s="0" t="s">
        <v>30</v>
      </c>
      <c r="E6" s="0" t="s">
        <v>31</v>
      </c>
      <c r="F6" s="0" t="s">
        <v>25</v>
      </c>
      <c r="G6" s="6" t="s">
        <v>0</v>
      </c>
      <c r="H6" s="0" t="n">
        <v>120</v>
      </c>
      <c r="I6" s="7" t="n">
        <v>80</v>
      </c>
      <c r="J6" s="7" t="n">
        <v>0</v>
      </c>
      <c r="K6" s="8" t="n">
        <f aca="false">(I6/(I6+J6))</f>
        <v>1</v>
      </c>
    </row>
    <row r="7" customFormat="false" ht="15.75" hidden="false" customHeight="false" outlineLevel="0" collapsed="false">
      <c r="A7" s="0" t="n">
        <v>6</v>
      </c>
      <c r="B7" s="0" t="s">
        <v>17</v>
      </c>
      <c r="C7" s="0" t="s">
        <v>22</v>
      </c>
      <c r="D7" s="0" t="s">
        <v>30</v>
      </c>
      <c r="E7" s="0" t="s">
        <v>32</v>
      </c>
      <c r="F7" s="0" t="s">
        <v>25</v>
      </c>
      <c r="G7" s="6" t="s">
        <v>0</v>
      </c>
      <c r="H7" s="0" t="n">
        <v>90</v>
      </c>
      <c r="I7" s="7" t="n">
        <v>30</v>
      </c>
      <c r="J7" s="7" t="n">
        <v>0</v>
      </c>
      <c r="K7" s="8" t="n">
        <f aca="false">(I7/(I7+J7))</f>
        <v>1</v>
      </c>
    </row>
    <row r="8" customFormat="false" ht="15.75" hidden="false" customHeight="false" outlineLevel="0" collapsed="false">
      <c r="A8" s="0" t="n">
        <v>7</v>
      </c>
      <c r="B8" s="0" t="s">
        <v>17</v>
      </c>
      <c r="C8" s="0" t="s">
        <v>22</v>
      </c>
      <c r="D8" s="0" t="s">
        <v>33</v>
      </c>
      <c r="E8" s="0" t="s">
        <v>34</v>
      </c>
      <c r="F8" s="0" t="s">
        <v>25</v>
      </c>
      <c r="G8" s="6" t="s">
        <v>0</v>
      </c>
      <c r="H8" s="0" t="n">
        <v>120</v>
      </c>
      <c r="I8" s="7" t="n">
        <v>40</v>
      </c>
      <c r="J8" s="7" t="n">
        <v>0</v>
      </c>
      <c r="K8" s="8" t="n">
        <f aca="false">(I8/(I8+J8))</f>
        <v>1</v>
      </c>
    </row>
    <row r="9" customFormat="false" ht="15.75" hidden="false" customHeight="false" outlineLevel="0" collapsed="false">
      <c r="A9" s="0" t="n">
        <v>8</v>
      </c>
      <c r="B9" s="0" t="s">
        <v>17</v>
      </c>
      <c r="C9" s="0" t="s">
        <v>22</v>
      </c>
      <c r="D9" s="0" t="s">
        <v>33</v>
      </c>
      <c r="E9" s="0" t="s">
        <v>35</v>
      </c>
      <c r="F9" s="0" t="s">
        <v>25</v>
      </c>
      <c r="G9" s="6" t="s">
        <v>0</v>
      </c>
      <c r="H9" s="0" t="n">
        <v>120</v>
      </c>
      <c r="I9" s="7" t="n">
        <v>20</v>
      </c>
      <c r="J9" s="7" t="n">
        <v>0</v>
      </c>
      <c r="K9" s="8" t="n">
        <f aca="false">(I9/(I9+J9))</f>
        <v>1</v>
      </c>
    </row>
    <row r="10" customFormat="false" ht="15.75" hidden="false" customHeight="false" outlineLevel="0" collapsed="false">
      <c r="A10" s="0" t="n">
        <v>9</v>
      </c>
      <c r="B10" s="0" t="s">
        <v>17</v>
      </c>
      <c r="C10" s="0" t="s">
        <v>22</v>
      </c>
      <c r="D10" s="0" t="s">
        <v>36</v>
      </c>
      <c r="E10" s="0" t="s">
        <v>37</v>
      </c>
      <c r="F10" s="0" t="s">
        <v>25</v>
      </c>
      <c r="G10" s="6" t="s">
        <v>0</v>
      </c>
      <c r="H10" s="0" t="n">
        <v>120</v>
      </c>
      <c r="I10" s="7" t="n">
        <v>30</v>
      </c>
      <c r="J10" s="7" t="n">
        <f aca="false">H10-I10</f>
        <v>90</v>
      </c>
      <c r="K10" s="8" t="n">
        <f aca="false">(I10/(I10+J10))</f>
        <v>0.25</v>
      </c>
    </row>
    <row r="11" customFormat="false" ht="15.75" hidden="false" customHeight="false" outlineLevel="0" collapsed="false">
      <c r="A11" s="0" t="n">
        <v>10</v>
      </c>
      <c r="B11" s="0" t="s">
        <v>38</v>
      </c>
      <c r="C11" s="0" t="s">
        <v>22</v>
      </c>
      <c r="D11" s="0" t="s">
        <v>39</v>
      </c>
      <c r="E11" s="0" t="s">
        <v>40</v>
      </c>
      <c r="F11" s="0" t="s">
        <v>25</v>
      </c>
      <c r="G11" s="6" t="s">
        <v>0</v>
      </c>
      <c r="H11" s="0" t="n">
        <v>150</v>
      </c>
      <c r="I11" s="9" t="n">
        <v>60</v>
      </c>
      <c r="J11" s="9" t="n">
        <v>0</v>
      </c>
      <c r="K11" s="8" t="n">
        <f aca="false">(I11/(I11+J11))</f>
        <v>1</v>
      </c>
    </row>
    <row r="12" customFormat="false" ht="15.75" hidden="false" customHeight="false" outlineLevel="0" collapsed="false">
      <c r="A12" s="0" t="n">
        <v>11</v>
      </c>
      <c r="B12" s="0" t="s">
        <v>38</v>
      </c>
      <c r="C12" s="0" t="s">
        <v>22</v>
      </c>
      <c r="D12" s="0" t="s">
        <v>41</v>
      </c>
      <c r="E12" s="0" t="s">
        <v>42</v>
      </c>
      <c r="F12" s="0" t="s">
        <v>25</v>
      </c>
      <c r="G12" s="6" t="s">
        <v>0</v>
      </c>
      <c r="H12" s="0" t="n">
        <v>150</v>
      </c>
      <c r="I12" s="9" t="n">
        <v>160</v>
      </c>
      <c r="J12" s="9" t="n">
        <v>0</v>
      </c>
      <c r="K12" s="8" t="n">
        <f aca="false">(I12/(I12+J12))</f>
        <v>1</v>
      </c>
    </row>
    <row r="13" customFormat="false" ht="15.75" hidden="false" customHeight="false" outlineLevel="0" collapsed="false">
      <c r="A13" s="0" t="n">
        <v>12</v>
      </c>
      <c r="B13" s="0" t="s">
        <v>43</v>
      </c>
      <c r="C13" s="0" t="s">
        <v>22</v>
      </c>
      <c r="D13" s="0" t="s">
        <v>44</v>
      </c>
      <c r="E13" s="0" t="s">
        <v>45</v>
      </c>
      <c r="F13" s="0" t="s">
        <v>25</v>
      </c>
      <c r="G13" s="6" t="s">
        <v>0</v>
      </c>
      <c r="H13" s="0" t="n">
        <v>120</v>
      </c>
      <c r="I13" s="9" t="n">
        <v>100</v>
      </c>
      <c r="J13" s="9" t="n">
        <v>0</v>
      </c>
      <c r="K13" s="8" t="n">
        <f aca="false">(I13/(I13+J13))</f>
        <v>1</v>
      </c>
    </row>
    <row r="14" customFormat="false" ht="15.75" hidden="false" customHeight="false" outlineLevel="0" collapsed="false">
      <c r="A14" s="0" t="n">
        <v>13</v>
      </c>
      <c r="B14" s="0" t="s">
        <v>43</v>
      </c>
      <c r="C14" s="0" t="s">
        <v>22</v>
      </c>
      <c r="D14" s="0" t="s">
        <v>36</v>
      </c>
      <c r="E14" s="0" t="s">
        <v>46</v>
      </c>
      <c r="F14" s="0" t="s">
        <v>25</v>
      </c>
      <c r="G14" s="6" t="s">
        <v>0</v>
      </c>
      <c r="H14" s="0" t="n">
        <v>60</v>
      </c>
      <c r="I14" s="9" t="n">
        <v>70</v>
      </c>
      <c r="J14" s="9" t="n">
        <v>0</v>
      </c>
      <c r="K14" s="8" t="n">
        <f aca="false">(I14/(I14+J14))</f>
        <v>1</v>
      </c>
    </row>
    <row r="15" customFormat="false" ht="15.75" hidden="false" customHeight="false" outlineLevel="0" collapsed="false">
      <c r="A15" s="0" t="n">
        <v>14</v>
      </c>
      <c r="B15" s="0" t="s">
        <v>43</v>
      </c>
      <c r="C15" s="0" t="s">
        <v>22</v>
      </c>
      <c r="D15" s="0" t="s">
        <v>36</v>
      </c>
      <c r="E15" s="0" t="s">
        <v>47</v>
      </c>
      <c r="F15" s="0" t="s">
        <v>25</v>
      </c>
      <c r="G15" s="6" t="s">
        <v>0</v>
      </c>
      <c r="H15" s="0" t="n">
        <v>90</v>
      </c>
      <c r="I15" s="9" t="n">
        <v>60</v>
      </c>
      <c r="J15" s="9" t="n">
        <v>0</v>
      </c>
      <c r="K15" s="8" t="n">
        <f aca="false">(I15/(I15+J15))</f>
        <v>1</v>
      </c>
    </row>
    <row r="16" customFormat="false" ht="15.75" hidden="false" customHeight="false" outlineLevel="0" collapsed="false">
      <c r="A16" s="0" t="n">
        <v>15</v>
      </c>
      <c r="B16" s="0" t="s">
        <v>48</v>
      </c>
      <c r="C16" s="0" t="s">
        <v>49</v>
      </c>
      <c r="D16" s="0" t="s">
        <v>50</v>
      </c>
      <c r="E16" s="0" t="s">
        <v>51</v>
      </c>
      <c r="F16" s="0" t="s">
        <v>52</v>
      </c>
      <c r="G16" s="6" t="s">
        <v>0</v>
      </c>
      <c r="H16" s="0" t="n">
        <v>60</v>
      </c>
      <c r="I16" s="9" t="n">
        <v>30</v>
      </c>
      <c r="J16" s="9" t="n">
        <v>0</v>
      </c>
      <c r="K16" s="8" t="n">
        <f aca="false">(I16/(I16+J16))</f>
        <v>1</v>
      </c>
    </row>
    <row r="17" customFormat="false" ht="15.75" hidden="false" customHeight="false" outlineLevel="0" collapsed="false">
      <c r="A17" s="0" t="n">
        <v>16</v>
      </c>
      <c r="B17" s="0" t="s">
        <v>48</v>
      </c>
      <c r="C17" s="0" t="s">
        <v>49</v>
      </c>
      <c r="D17" s="0" t="s">
        <v>53</v>
      </c>
      <c r="E17" s="0" t="s">
        <v>54</v>
      </c>
      <c r="F17" s="0" t="s">
        <v>52</v>
      </c>
      <c r="G17" s="6" t="s">
        <v>0</v>
      </c>
      <c r="H17" s="0" t="n">
        <v>90</v>
      </c>
      <c r="I17" s="9" t="n">
        <v>30</v>
      </c>
      <c r="J17" s="9" t="n">
        <v>0</v>
      </c>
      <c r="K17" s="8" t="n">
        <f aca="false">(I17/(I17+J17))</f>
        <v>1</v>
      </c>
    </row>
    <row r="18" customFormat="false" ht="15.75" hidden="false" customHeight="false" outlineLevel="0" collapsed="false">
      <c r="A18" s="0" t="n">
        <v>17</v>
      </c>
      <c r="B18" s="0" t="s">
        <v>55</v>
      </c>
      <c r="C18" s="0" t="s">
        <v>22</v>
      </c>
      <c r="D18" s="0" t="s">
        <v>56</v>
      </c>
      <c r="E18" s="0" t="s">
        <v>57</v>
      </c>
      <c r="F18" s="0" t="s">
        <v>25</v>
      </c>
      <c r="G18" s="6" t="s">
        <v>0</v>
      </c>
      <c r="H18" s="0" t="n">
        <v>60</v>
      </c>
      <c r="I18" s="9" t="n">
        <v>40</v>
      </c>
      <c r="J18" s="9" t="n">
        <v>0</v>
      </c>
      <c r="K18" s="8" t="n">
        <f aca="false">(I18/(I18+J18))</f>
        <v>1</v>
      </c>
    </row>
    <row r="19" customFormat="false" ht="15.75" hidden="false" customHeight="false" outlineLevel="0" collapsed="false">
      <c r="A19" s="0" t="n">
        <v>18</v>
      </c>
      <c r="B19" s="0" t="s">
        <v>58</v>
      </c>
      <c r="C19" s="0" t="s">
        <v>59</v>
      </c>
      <c r="D19" s="0" t="s">
        <v>60</v>
      </c>
      <c r="E19" s="0" t="s">
        <v>61</v>
      </c>
      <c r="F19" s="0" t="s">
        <v>52</v>
      </c>
      <c r="G19" s="6" t="s">
        <v>0</v>
      </c>
      <c r="H19" s="0" t="n">
        <v>120</v>
      </c>
      <c r="I19" s="9" t="n">
        <v>120</v>
      </c>
      <c r="J19" s="9" t="n">
        <v>0</v>
      </c>
      <c r="K19" s="8" t="n">
        <f aca="false">(I19/(I19+J19))</f>
        <v>1</v>
      </c>
    </row>
    <row r="20" customFormat="false" ht="15.75" hidden="false" customHeight="false" outlineLevel="0" collapsed="false">
      <c r="A20" s="0" t="n">
        <v>19</v>
      </c>
      <c r="B20" s="0" t="s">
        <v>62</v>
      </c>
      <c r="C20" s="0" t="s">
        <v>59</v>
      </c>
      <c r="D20" s="0" t="s">
        <v>63</v>
      </c>
      <c r="E20" s="0" t="s">
        <v>64</v>
      </c>
      <c r="F20" s="0" t="s">
        <v>65</v>
      </c>
      <c r="G20" s="6" t="s">
        <v>0</v>
      </c>
      <c r="H20" s="0" t="n">
        <v>120</v>
      </c>
      <c r="I20" s="9" t="n">
        <v>140</v>
      </c>
      <c r="J20" s="9" t="n">
        <v>0</v>
      </c>
      <c r="K20" s="8" t="n">
        <f aca="false">(I20/(I20+J20))</f>
        <v>1</v>
      </c>
    </row>
    <row r="21" customFormat="false" ht="15.75" hidden="false" customHeight="true" outlineLevel="0" collapsed="false">
      <c r="A21" s="0" t="n">
        <v>20</v>
      </c>
      <c r="B21" s="0" t="s">
        <v>66</v>
      </c>
      <c r="C21" s="0" t="s">
        <v>59</v>
      </c>
      <c r="D21" s="0" t="s">
        <v>67</v>
      </c>
      <c r="E21" s="0" t="s">
        <v>24</v>
      </c>
      <c r="F21" s="0" t="s">
        <v>68</v>
      </c>
      <c r="G21" s="6" t="s">
        <v>0</v>
      </c>
      <c r="H21" s="0" t="n">
        <v>60</v>
      </c>
      <c r="I21" s="0" t="n">
        <v>60</v>
      </c>
      <c r="J21" s="0" t="n">
        <v>0</v>
      </c>
      <c r="K21" s="8" t="n">
        <f aca="false">(I21/(I21+J21))</f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0" t="s">
        <v>12</v>
      </c>
      <c r="B1" s="11" t="s">
        <v>69</v>
      </c>
      <c r="C1" s="12" t="s">
        <v>70</v>
      </c>
      <c r="D1" s="13" t="s">
        <v>71</v>
      </c>
    </row>
    <row r="2" customFormat="false" ht="15.75" hidden="false" customHeight="false" outlineLevel="0" collapsed="false">
      <c r="A2" s="14" t="s">
        <v>0</v>
      </c>
      <c r="B2" s="15" t="n">
        <v>525</v>
      </c>
      <c r="C2" s="16" t="n">
        <v>620</v>
      </c>
      <c r="D2" s="17" t="n">
        <v>0</v>
      </c>
    </row>
    <row r="3" customFormat="false" ht="15.75" hidden="false" customHeight="false" outlineLevel="0" collapsed="false">
      <c r="A3" s="18" t="s">
        <v>72</v>
      </c>
      <c r="B3" s="19"/>
      <c r="C3" s="20"/>
      <c r="D3" s="21"/>
    </row>
    <row r="4" customFormat="false" ht="15.75" hidden="false" customHeight="false" outlineLevel="0" collapsed="false">
      <c r="A4" s="22" t="s">
        <v>73</v>
      </c>
      <c r="B4" s="23" t="n">
        <v>525</v>
      </c>
      <c r="C4" s="24" t="n">
        <v>620</v>
      </c>
      <c r="D4" s="25" t="n">
        <v>0</v>
      </c>
    </row>
    <row r="12" customFormat="false" ht="15.75" hidden="false" customHeight="false" outlineLevel="0" collapsed="false">
      <c r="A12" s="26" t="s">
        <v>16</v>
      </c>
      <c r="B12" s="27" t="n">
        <f aca="false">avancement!D2</f>
        <v>0.943037974683544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2" width="15.75"/>
    <col collapsed="false" customWidth="true" hidden="false" outlineLevel="0" max="2" min="2" style="2" width="17.88"/>
    <col collapsed="false" customWidth="true" hidden="false" outlineLevel="0" max="3" min="3" style="2" width="17"/>
    <col collapsed="false" customWidth="true" hidden="false" outlineLevel="0" max="4" min="4" style="2" width="18.25"/>
    <col collapsed="false" customWidth="true" hidden="false" outlineLevel="0" max="5" min="5" style="2" width="13.75"/>
  </cols>
  <sheetData>
    <row r="1" customFormat="false" ht="15.75" hidden="false" customHeight="false" outlineLevel="0" collapsed="false">
      <c r="A1" s="28" t="s">
        <v>74</v>
      </c>
      <c r="B1" s="28" t="s">
        <v>75</v>
      </c>
      <c r="C1" s="28" t="s">
        <v>76</v>
      </c>
      <c r="D1" s="28" t="s">
        <v>77</v>
      </c>
      <c r="E1" s="28" t="s">
        <v>78</v>
      </c>
    </row>
    <row r="2" customFormat="false" ht="15.75" hidden="false" customHeight="false" outlineLevel="0" collapsed="false">
      <c r="A2" s="29" t="n">
        <f aca="false">SUM('liste des taches'!H:H)</f>
        <v>1980</v>
      </c>
      <c r="B2" s="29" t="n">
        <f aca="false">SUM('liste des taches'!I:I)</f>
        <v>1490</v>
      </c>
      <c r="C2" s="29" t="n">
        <f aca="false">SUM('liste des taches'!J:J)</f>
        <v>90</v>
      </c>
      <c r="D2" s="30" t="n">
        <f aca="false">(B2/(B2+C2))</f>
        <v>0.943037974683544</v>
      </c>
      <c r="E2" s="31" t="n">
        <f aca="false">((B2+C2)-A2)/A2</f>
        <v>-0.202020202020202</v>
      </c>
    </row>
    <row r="3" customFormat="false" ht="15.75" hidden="false" customHeight="false" outlineLevel="0" collapsed="false">
      <c r="A3" s="32"/>
      <c r="B3" s="32"/>
      <c r="C3" s="29" t="n">
        <f aca="false">C2/60</f>
        <v>1.5</v>
      </c>
      <c r="D3" s="32" t="s">
        <v>79</v>
      </c>
      <c r="E3" s="3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33" t="s">
        <v>6</v>
      </c>
      <c r="B1" s="34" t="s">
        <v>80</v>
      </c>
      <c r="C1" s="35" t="n">
        <v>46175</v>
      </c>
      <c r="D1" s="35" t="n">
        <v>46176</v>
      </c>
      <c r="E1" s="35" t="n">
        <v>46178</v>
      </c>
    </row>
    <row r="2" customFormat="false" ht="15.75" hidden="false" customHeight="false" outlineLevel="0" collapsed="false">
      <c r="A2" s="36" t="n">
        <v>1</v>
      </c>
      <c r="B2" s="29" t="n">
        <f aca="false">SUM(D2:P2)</f>
        <v>20</v>
      </c>
      <c r="C2" s="37" t="n">
        <v>30</v>
      </c>
      <c r="D2" s="36" t="n">
        <v>20</v>
      </c>
      <c r="E2" s="32"/>
    </row>
    <row r="3" customFormat="false" ht="15.75" hidden="false" customHeight="false" outlineLevel="0" collapsed="false">
      <c r="A3" s="36" t="n">
        <v>2</v>
      </c>
      <c r="B3" s="29" t="n">
        <f aca="false">SUM(D3:P3)</f>
        <v>0</v>
      </c>
      <c r="C3" s="32"/>
      <c r="D3" s="32"/>
      <c r="E3" s="32"/>
    </row>
    <row r="4" customFormat="false" ht="15.75" hidden="false" customHeight="false" outlineLevel="0" collapsed="false">
      <c r="A4" s="36" t="n">
        <v>3</v>
      </c>
      <c r="B4" s="29" t="n">
        <f aca="false">SUM(D4:P4)</f>
        <v>60</v>
      </c>
      <c r="C4" s="36" t="n">
        <v>20</v>
      </c>
      <c r="D4" s="36" t="n">
        <v>60</v>
      </c>
      <c r="E4" s="32"/>
    </row>
    <row r="5" customFormat="false" ht="15.75" hidden="false" customHeight="false" outlineLevel="0" collapsed="false">
      <c r="A5" s="36" t="n">
        <v>4</v>
      </c>
      <c r="B5" s="29" t="n">
        <f aca="false">SUM(D5:P5)</f>
        <v>0</v>
      </c>
      <c r="C5" s="37" t="n">
        <v>60</v>
      </c>
      <c r="D5" s="32"/>
      <c r="E5" s="32"/>
    </row>
    <row r="6" customFormat="false" ht="15.75" hidden="false" customHeight="false" outlineLevel="0" collapsed="false">
      <c r="A6" s="36" t="n">
        <v>5</v>
      </c>
      <c r="B6" s="29" t="n">
        <f aca="false">SUM(D6:P6)</f>
        <v>30</v>
      </c>
      <c r="C6" s="37" t="n">
        <v>120</v>
      </c>
      <c r="D6" s="37" t="n">
        <v>30</v>
      </c>
      <c r="E6" s="32"/>
    </row>
    <row r="7" customFormat="false" ht="15.75" hidden="false" customHeight="false" outlineLevel="0" collapsed="false">
      <c r="A7" s="36" t="n">
        <v>6</v>
      </c>
      <c r="B7" s="29" t="n">
        <f aca="false">SUM(D7:P7)</f>
        <v>0</v>
      </c>
      <c r="C7" s="32"/>
      <c r="D7" s="32"/>
      <c r="E7" s="32"/>
    </row>
    <row r="8" customFormat="false" ht="15.75" hidden="false" customHeight="false" outlineLevel="0" collapsed="false">
      <c r="A8" s="36" t="n">
        <v>7</v>
      </c>
      <c r="B8" s="29" t="n">
        <f aca="false">SUM(D8:P8)</f>
        <v>120</v>
      </c>
      <c r="C8" s="32"/>
      <c r="D8" s="37" t="n">
        <v>120</v>
      </c>
      <c r="E8" s="32"/>
    </row>
    <row r="9" customFormat="false" ht="15.75" hidden="false" customHeight="false" outlineLevel="0" collapsed="false">
      <c r="A9" s="1" t="n">
        <v>8</v>
      </c>
      <c r="B9" s="29" t="n">
        <f aca="false">SUM(D9:P9)</f>
        <v>30</v>
      </c>
      <c r="D9" s="1" t="n">
        <v>30</v>
      </c>
    </row>
    <row r="10" customFormat="false" ht="15.75" hidden="false" customHeight="false" outlineLevel="0" collapsed="false">
      <c r="A10" s="1" t="n">
        <v>9</v>
      </c>
      <c r="B10" s="29" t="n">
        <f aca="false">SUM(D10:P10)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2026-06-12T08:18:07Z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